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91CA1C17-8714-4B45-B204-A353C013ED00}" xr6:coauthVersionLast="47" xr6:coauthVersionMax="47" xr10:uidLastSave="{00000000-0000-0000-0000-000000000000}"/>
  <bookViews>
    <workbookView xWindow="-108" yWindow="-108" windowWidth="23256" windowHeight="12456" firstSheet="1" activeTab="3" xr2:uid="{00000000-000D-0000-FFFF-FFFF00000000}"/>
  </bookViews>
  <sheets>
    <sheet name="Information" sheetId="2" r:id="rId1"/>
    <sheet name="Depreciation Calculator" sheetId="1" r:id="rId2"/>
    <sheet name="Sheet1" sheetId="3" r:id="rId3"/>
    <sheet name="Sheet2" sheetId="9" r:id="rId4"/>
    <sheet name="Sheet3" sheetId="5" r:id="rId5"/>
    <sheet name="Sheet4" sheetId="12" r:id="rId6"/>
  </sheets>
  <calcPr calcId="191029"/>
  <pivotCaches>
    <pivotCache cacheId="0" r:id="rId7"/>
    <pivotCache cacheId="1" r:id="rId8"/>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B5" i="3"/>
  <c r="D26" i="1"/>
  <c r="C26" i="1" s="1"/>
  <c r="D20" i="1"/>
  <c r="D23" i="1" s="1"/>
  <c r="D11" i="1"/>
  <c r="D12" i="1" s="1"/>
  <c r="D8" i="1"/>
  <c r="D13" i="1" l="1"/>
  <c r="D14" i="1" s="1"/>
  <c r="D15" i="1" s="1"/>
  <c r="B10" i="3"/>
  <c r="D27" i="1"/>
  <c r="B20" i="3"/>
  <c r="B25" i="3" l="1"/>
  <c r="C27" i="1"/>
  <c r="D28" i="1" l="1"/>
  <c r="C28" i="1" l="1"/>
  <c r="D29" i="1" l="1"/>
  <c r="D5" i="3"/>
  <c r="C29" i="1" l="1"/>
  <c r="D30" i="1" s="1"/>
  <c r="C30" i="1" l="1"/>
  <c r="D31" i="1" s="1"/>
  <c r="C31" i="1" l="1"/>
  <c r="D32" i="1" s="1"/>
  <c r="C32" i="1" l="1"/>
  <c r="D33" i="1"/>
  <c r="C36" i="1"/>
  <c r="C33" i="1" l="1"/>
  <c r="D34" i="1" s="1"/>
  <c r="D37" i="1"/>
  <c r="C37" i="1" s="1"/>
  <c r="C34" i="1" l="1"/>
  <c r="D35" i="1" s="1"/>
  <c r="D38" i="1"/>
  <c r="C38" i="1" s="1"/>
  <c r="C35" i="1" l="1"/>
  <c r="D10" i="3" s="1"/>
  <c r="D15" i="3"/>
  <c r="D39" i="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<sst xmlns="http://schemas.openxmlformats.org/spreadsheetml/2006/main" count="61" uniqueCount="44">
  <si>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</si>
  <si>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</si>
  <si>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</si>
  <si>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</si>
  <si>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</si>
  <si>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</si>
  <si>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</si>
  <si>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</si>
  <si>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</si>
  <si>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</si>
  <si>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</si>
  <si>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</si>
  <si>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</si>
  <si>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</si>
  <si>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</si>
  <si>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</si>
  <si>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</si>
  <si>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</si>
  <si>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</si>
  <si>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</si>
  <si>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(Asset Price - Scrap Value) / Life Span</t>
  </si>
  <si>
    <t>1. Annual depreciation (SLM)</t>
  </si>
  <si>
    <t>2 Total depreciation</t>
  </si>
  <si>
    <t>3 Book value after life span</t>
  </si>
  <si>
    <t>4 Rate of depreciation (DBM)</t>
  </si>
  <si>
    <t>5 Depreciation in 2nd year</t>
  </si>
  <si>
    <t>6 Book value in 4th year</t>
  </si>
  <si>
    <t>7 Total depreciation (DBM)</t>
  </si>
  <si>
    <t>8 Book value after life span</t>
  </si>
  <si>
    <t>9 Comparison</t>
  </si>
  <si>
    <t>Formula:-</t>
  </si>
  <si>
    <t>Annual Depreciation * Life Span</t>
  </si>
  <si>
    <t>Depreciation per year / Asset Price</t>
  </si>
  <si>
    <t>Book Value Year2 × Rate</t>
  </si>
  <si>
    <t>Book Value Year3 - Depreciation Year3</t>
  </si>
  <si>
    <t>SUM(all yearly Depreciation)</t>
  </si>
  <si>
    <t>Last Year Book Value</t>
  </si>
  <si>
    <t>Diminishing Balance Method → Higher depreciation in early years</t>
  </si>
  <si>
    <t>Straight Line Method → Same depreciation every year</t>
  </si>
  <si>
    <t>Row Labels</t>
  </si>
  <si>
    <t>Grand Total</t>
  </si>
  <si>
    <t>Sum of Book Value</t>
  </si>
  <si>
    <t>Asset Value</t>
  </si>
  <si>
    <t>Sum of Asset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</si>
</sst>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 #,##0.00"/>
  </numFmts>
  <fonts count="15"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sz val="12"/>
      <color theme="1"/>
      <name val="Calibri"/>
      <family val="2"/>
      <scheme val="minor"/>
    </font>
    <font>
      <sz val="12"/>
      <color theme="1"/>
      <name val="Times New Roman"/>
      <family val="1"/>
    </font>
    <font>
      <sz val="11"/>
      <color theme="1"/>
      <name val="Times New Roman"/>
      <family val="1"/>
    </font>
    <font>
      <b/>
      <sz val="11"/>
      <color theme="1"/>
      <name val="Times New Roman"/>
      <family val="1"/>
    </font>
    <font>
      <b/>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37">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5" fontId="4" fillId="2" borderId="1" xfId="0" applyNumberFormat="1" applyFont="1" applyFill="1" applyBorder="1" applyAlignment="1">
      <alignment horizontal="center" vertical="center"/>
    </xf>
    <xf numFmtId="165" fontId="6" fillId="4" borderId="1" xfId="0" applyNumberFormat="1" applyFont="1" applyFill="1" applyBorder="1" applyAlignment="1">
      <alignment horizontal="center" vertical="center"/>
    </xf>
    <xf numFmtId="165" fontId="6" fillId="2" borderId="1" xfId="0" applyNumberFormat="1" applyFont="1" applyFill="1" applyBorder="1" applyAlignment="1">
      <alignment horizontal="center" vertical="center"/>
    </xf>
    <xf numFmtId="0" fontId="10" fillId="0" borderId="0" xfId="0" applyFont="1"/>
    <xf numFmtId="0" fontId="11" fillId="0" borderId="0" xfId="0" applyFont="1" applyAlignment="1">
      <alignment vertical="center"/>
    </xf>
    <xf numFmtId="0" fontId="12" fillId="0" borderId="0" xfId="0" applyFont="1"/>
    <xf numFmtId="165" fontId="12" fillId="0" borderId="0" xfId="0" applyNumberFormat="1" applyFont="1"/>
    <xf numFmtId="0" fontId="11" fillId="0" borderId="0" xfId="0" applyFont="1"/>
    <xf numFmtId="10" fontId="12" fillId="0" borderId="0" xfId="0" applyNumberFormat="1" applyFont="1"/>
    <xf numFmtId="0" fontId="13" fillId="0" borderId="0" xfId="0" applyFont="1"/>
    <xf numFmtId="0" fontId="0" fillId="0" borderId="0" xfId="0" pivotButton="1"/>
    <xf numFmtId="0" fontId="0" fillId="0" borderId="0" xfId="0" applyAlignment="1">
      <alignment horizontal="left"/>
    </xf>
    <xf numFmtId="165" fontId="0" fillId="0" borderId="0" xfId="0" applyNumberFormat="1"/>
    <xf numFmtId="165" fontId="1" fillId="0" borderId="0" xfId="0" applyNumberFormat="1" applyFont="1" applyAlignment="1">
      <alignment horizontal="center" vertical="center"/>
    </xf>
    <xf numFmtId="4" fontId="1" fillId="0" borderId="0" xfId="0" applyNumberFormat="1" applyFont="1" applyAlignment="1">
      <alignment horizontal="center" vertical="center"/>
    </xf>
    <xf numFmtId="3" fontId="1" fillId="0" borderId="0" xfId="0" applyNumberFormat="1" applyFont="1" applyAlignment="1">
      <alignment horizontal="center" vertical="center"/>
    </xf>
    <xf numFmtId="0" fontId="6" fillId="4" borderId="1" xfId="0" applyFont="1" applyFill="1" applyBorder="1" applyAlignment="1">
      <alignment horizontal="center" vertical="center"/>
    </xf>
    <xf numFmtId="0" fontId="14" fillId="0" borderId="0" xfId="0" applyFont="1" applyAlignment="1">
      <alignment horizontal="center" vertical="center" wrapText="1"/>
    </xf>
    <xf numFmtId="0" fontId="0" fillId="0" borderId="0" xfId="0" applyAlignment="1">
      <alignment vertical="center" wrapText="1"/>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NumberFormat="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3">
    <dxf>
      <numFmt numFmtId="165" formatCode="&quot;₹&quot;\ #,##0.00"/>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[Project-1(Depreciation-Calculator-Excel)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Straight Line Depreciation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Sheet2!$A$2:$A$12</c:f>
              <c:strCache>
                <c:ptCount val="10"/>
                <c:pt idx="0">
                  <c:v>1</c:v>
                </c:pt>
                <c:pt idx="1">
                  <c:v>2</c:v>
                </c:pt>
                <c:pt idx="2">
                  <c:v>3</c:v>
                </c:pt>
                <c:pt idx="3">
                  <c:v>4</c:v>
                </c:pt>
                <c:pt idx="4">
                  <c:v>5</c:v>
                </c:pt>
                <c:pt idx="5">
                  <c:v>6</c:v>
                </c:pt>
                <c:pt idx="6">
                  <c:v>7</c:v>
                </c:pt>
                <c:pt idx="7">
                  <c:v>8</c:v>
                </c:pt>
                <c:pt idx="8">
                  <c:v>9</c:v>
                </c:pt>
                <c:pt idx="9">
                  <c:v>10</c:v>
                </c:pt>
              </c:strCache>
            </c:strRef>
          </c:cat>
          <c:val>
            <c:numRef>
              <c:f>Sheet2!$B$2:$B$12</c:f>
              <c:numCache>
                <c:formatCode>"₹"\ #,##0.00</c:formatCode>
                <c:ptCount val="10"/>
                <c:pt idx="0">
                  <c:v>495000</c:v>
                </c:pt>
                <c:pt idx="1">
                  <c:v>490000</c:v>
                </c:pt>
                <c:pt idx="2">
                  <c:v>485000</c:v>
                </c:pt>
                <c:pt idx="3">
                  <c:v>480000</c:v>
                </c:pt>
                <c:pt idx="4">
                  <c:v>475000</c:v>
                </c:pt>
                <c:pt idx="5">
                  <c:v>470000</c:v>
                </c:pt>
                <c:pt idx="6">
                  <c:v>465000</c:v>
                </c:pt>
                <c:pt idx="7">
                  <c:v>460000</c:v>
                </c:pt>
                <c:pt idx="8">
                  <c:v>455000</c:v>
                </c:pt>
                <c:pt idx="9">
                  <c:v>450000</c:v>
                </c:pt>
              </c:numCache>
            </c:numRef>
          </c:val>
          <c:extLst>
            <c:ext xmlns:c16="http://schemas.microsoft.com/office/drawing/2014/chart" uri="{C3380CC4-5D6E-409C-BE32-E72D297353CC}">
              <c16:uniqueId val="{00000000-9B3F-4763-B5DA-50C051610FB2}"/>
            </c:ext>
          </c:extLst>
        </c:ser>
        <c:dLbls>
          <c:showLegendKey val="0"/>
          <c:showVal val="0"/>
          <c:showCatName val="0"/>
          <c:showSerName val="0"/>
          <c:showPercent val="0"/>
          <c:showBubbleSize val="0"/>
        </c:dLbls>
        <c:gapWidth val="219"/>
        <c:overlap val="-27"/>
        <c:axId val="41679616"/>
        <c:axId val="41677216"/>
      </c:barChart>
      <c:catAx>
        <c:axId val="416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7216"/>
        <c:crosses val="autoZero"/>
        <c:auto val="1"/>
        <c:lblAlgn val="ctr"/>
        <c:lblOffset val="100"/>
        <c:noMultiLvlLbl val="0"/>
      </c:catAx>
      <c:valAx>
        <c:axId val="41677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1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[Project-1(Depreciation-Calculator-Excel) (1).xlsx]Sheet3!PivotTable2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Diminishing Balance Depreciation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1</c:v>
                </c:pt>
                <c:pt idx="1">
                  <c:v>2</c:v>
                </c:pt>
                <c:pt idx="2">
                  <c:v>3</c:v>
                </c:pt>
                <c:pt idx="3">
                  <c:v>4</c:v>
                </c:pt>
                <c:pt idx="4">
                  <c:v>5</c:v>
                </c:pt>
                <c:pt idx="5">
                  <c:v>6</c:v>
                </c:pt>
                <c:pt idx="6">
                  <c:v>7</c:v>
                </c:pt>
                <c:pt idx="7">
                  <c:v>8</c:v>
                </c:pt>
                <c:pt idx="8">
                  <c:v>9</c:v>
                </c:pt>
                <c:pt idx="9">
                  <c:v>10</c:v>
                </c:pt>
              </c:strCache>
            </c:strRef>
          </c:cat>
          <c:val>
            <c:numRef>
              <c:f>Sheet3!$B$4:$B$14</c:f>
              <c:numCache>
                <c:formatCode>"₹"\ #,##0.00</c:formatCode>
                <c:ptCount val="10"/>
                <c:pt idx="0">
                  <c:v>500000</c:v>
                </c:pt>
                <c:pt idx="1">
                  <c:v>397164.11736214074</c:v>
                </c:pt>
                <c:pt idx="2">
                  <c:v>315478.67224009661</c:v>
                </c:pt>
                <c:pt idx="3">
                  <c:v>250593.61681363612</c:v>
                </c:pt>
                <c:pt idx="4">
                  <c:v>199053.58527674861</c:v>
                </c:pt>
                <c:pt idx="5">
                  <c:v>158113.88300841895</c:v>
                </c:pt>
                <c:pt idx="6">
                  <c:v>125594.321575479</c:v>
                </c:pt>
                <c:pt idx="7">
                  <c:v>99763.115748443975</c:v>
                </c:pt>
                <c:pt idx="8">
                  <c:v>79244.659623055661</c:v>
                </c:pt>
                <c:pt idx="9">
                  <c:v>62946.270589708351</c:v>
                </c:pt>
              </c:numCache>
            </c:numRef>
          </c:val>
          <c:extLst>
            <c:ext xmlns:c16="http://schemas.microsoft.com/office/drawing/2014/chart" uri="{C3380CC4-5D6E-409C-BE32-E72D297353CC}">
              <c16:uniqueId val="{0000000B-0164-4447-AE7A-D47BC6F1B46D}"/>
            </c:ext>
          </c:extLst>
        </c:ser>
        <c:dLbls>
          <c:showLegendKey val="0"/>
          <c:showVal val="0"/>
          <c:showCatName val="0"/>
          <c:showSerName val="0"/>
          <c:showPercent val="0"/>
          <c:showBubbleSize val="0"/>
        </c:dLbls>
        <c:gapWidth val="219"/>
        <c:overlap val="-27"/>
        <c:axId val="1446859376"/>
        <c:axId val="1446860336"/>
      </c:barChart>
      <c:catAx>
        <c:axId val="144685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60336"/>
        <c:crosses val="autoZero"/>
        <c:auto val="1"/>
        <c:lblAlgn val="ctr"/>
        <c:lblOffset val="100"/>
        <c:noMultiLvlLbl val="0"/>
      </c:catAx>
      <c:valAx>
        <c:axId val="1446860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5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[Project-1(Depreciation-Calculator-Excel) (1).xlsx]Sheet4!PivotTable9</c:name>
    <c:fmtId val="1"/>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8197421700085"/>
          <c:y val="0.11263346122848074"/>
          <c:w val="0.69785514128238402"/>
          <c:h val="0.80571337666469711"/>
        </c:manualLayout>
      </c:layout>
      <c:lineChart>
        <c:grouping val="standard"/>
        <c:varyColors val="0"/>
        <c:ser>
          <c:idx val="0"/>
          <c:order val="0"/>
          <c:tx>
            <c:strRef>
              <c:f>Sheet4!$B$3</c:f>
              <c:strCache>
                <c:ptCount val="1"/>
                <c:pt idx="0">
                  <c:v>Book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Sheet4!$A$4:$A$14</c:f>
              <c:strCache>
                <c:ptCount val="10"/>
                <c:pt idx="0">
                  <c:v>1</c:v>
                </c:pt>
                <c:pt idx="1">
                  <c:v>2</c:v>
                </c:pt>
                <c:pt idx="2">
                  <c:v>3</c:v>
                </c:pt>
                <c:pt idx="3">
                  <c:v>4</c:v>
                </c:pt>
                <c:pt idx="4">
                  <c:v>5</c:v>
                </c:pt>
                <c:pt idx="5">
                  <c:v>6</c:v>
                </c:pt>
                <c:pt idx="6">
                  <c:v>7</c:v>
                </c:pt>
                <c:pt idx="7">
                  <c:v>8</c:v>
                </c:pt>
                <c:pt idx="8">
                  <c:v>9</c:v>
                </c:pt>
                <c:pt idx="9">
                  <c:v>10</c:v>
                </c:pt>
              </c:strCache>
            </c:strRef>
          </c:cat>
          <c:val>
            <c:numRef>
              <c:f>Sheet4!$B$4:$B$14</c:f>
              <c:numCache>
                <c:formatCode>"₹"\ #,##0.00</c:formatCode>
                <c:ptCount val="10"/>
                <c:pt idx="0">
                  <c:v>500000</c:v>
                </c:pt>
                <c:pt idx="1">
                  <c:v>397164.11736214074</c:v>
                </c:pt>
                <c:pt idx="2">
                  <c:v>315478.67224009661</c:v>
                </c:pt>
                <c:pt idx="3">
                  <c:v>250593.61681363612</c:v>
                </c:pt>
                <c:pt idx="4">
                  <c:v>199053.58527674861</c:v>
                </c:pt>
                <c:pt idx="5">
                  <c:v>158113.88300841895</c:v>
                </c:pt>
                <c:pt idx="6">
                  <c:v>125594.321575479</c:v>
                </c:pt>
                <c:pt idx="7">
                  <c:v>99763.115748443975</c:v>
                </c:pt>
                <c:pt idx="8">
                  <c:v>79244.659623055661</c:v>
                </c:pt>
                <c:pt idx="9">
                  <c:v>62946.270589708351</c:v>
                </c:pt>
              </c:numCache>
            </c:numRef>
          </c:val>
          <c:smooth val="0"/>
          <c:extLst>
            <c:ext xmlns:c16="http://schemas.microsoft.com/office/drawing/2014/chart" uri="{C3380CC4-5D6E-409C-BE32-E72D297353CC}">
              <c16:uniqueId val="{00000004-12BA-45A9-80D3-780FB8C66809}"/>
            </c:ext>
          </c:extLst>
        </c:ser>
        <c:ser>
          <c:idx val="1"/>
          <c:order val="1"/>
          <c:tx>
            <c:strRef>
              <c:f>Sheet4!$C$3</c:f>
              <c:strCache>
                <c:ptCount val="1"/>
                <c:pt idx="0">
                  <c:v>Asset 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Sheet4!$A$4:$A$14</c:f>
              <c:strCache>
                <c:ptCount val="10"/>
                <c:pt idx="0">
                  <c:v>1</c:v>
                </c:pt>
                <c:pt idx="1">
                  <c:v>2</c:v>
                </c:pt>
                <c:pt idx="2">
                  <c:v>3</c:v>
                </c:pt>
                <c:pt idx="3">
                  <c:v>4</c:v>
                </c:pt>
                <c:pt idx="4">
                  <c:v>5</c:v>
                </c:pt>
                <c:pt idx="5">
                  <c:v>6</c:v>
                </c:pt>
                <c:pt idx="6">
                  <c:v>7</c:v>
                </c:pt>
                <c:pt idx="7">
                  <c:v>8</c:v>
                </c:pt>
                <c:pt idx="8">
                  <c:v>9</c:v>
                </c:pt>
                <c:pt idx="9">
                  <c:v>10</c:v>
                </c:pt>
              </c:strCache>
            </c:strRef>
          </c:cat>
          <c:val>
            <c:numRef>
              <c:f>Sheet4!$C$4:$C$14</c:f>
              <c:numCache>
                <c:formatCode>"₹"\ #,##0.00</c:formatCode>
                <c:ptCount val="10"/>
                <c:pt idx="0">
                  <c:v>495000</c:v>
                </c:pt>
                <c:pt idx="1">
                  <c:v>490000</c:v>
                </c:pt>
                <c:pt idx="2">
                  <c:v>485000</c:v>
                </c:pt>
                <c:pt idx="3">
                  <c:v>480000</c:v>
                </c:pt>
                <c:pt idx="4">
                  <c:v>475000</c:v>
                </c:pt>
                <c:pt idx="5">
                  <c:v>470000</c:v>
                </c:pt>
                <c:pt idx="6">
                  <c:v>465000</c:v>
                </c:pt>
                <c:pt idx="7">
                  <c:v>460000</c:v>
                </c:pt>
                <c:pt idx="8">
                  <c:v>455000</c:v>
                </c:pt>
                <c:pt idx="9">
                  <c:v>450000</c:v>
                </c:pt>
              </c:numCache>
            </c:numRef>
          </c:val>
          <c:smooth val="0"/>
          <c:extLst>
            <c:ext xmlns:c16="http://schemas.microsoft.com/office/drawing/2014/chart" uri="{C3380CC4-5D6E-409C-BE32-E72D297353CC}">
              <c16:uniqueId val="{00000010-12BA-45A9-80D3-780FB8C66809}"/>
            </c:ext>
          </c:extLst>
        </c:ser>
        <c:dLbls>
          <c:showLegendKey val="0"/>
          <c:showVal val="0"/>
          <c:showCatName val="0"/>
          <c:showSerName val="0"/>
          <c:showPercent val="0"/>
          <c:showBubbleSize val="0"/>
        </c:dLbls>
        <c:marker val="1"/>
        <c:smooth val="0"/>
        <c:axId val="1446842576"/>
        <c:axId val="1446851696"/>
      </c:lineChart>
      <c:catAx>
        <c:axId val="144684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51696"/>
        <c:crosses val="autoZero"/>
        <c:auto val="1"/>
        <c:lblAlgn val="ctr"/>
        <c:lblOffset val="100"/>
        <c:noMultiLvlLbl val="0"/>
      </c:catAx>
      <c:valAx>
        <c:axId val="1446851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4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541020</xdr:colOff>
      <xdr:row>4</xdr:row>
      <xdr:rowOff>7620</xdr:rowOff>
    </xdr:from>
    <xdr:to>
      <xdr:col>11</xdr:col>
      <xdr:colOff>426720</xdr:colOff>
      <xdr:row>20</xdr:row>
      <xdr:rowOff>15240</xdr:rowOff>
    </xdr:to>
    <xdr:graphicFrame macro="">
      <xdr:nvGraphicFramePr>
        <xdr:cNvPr id="2" name="Chart 1">
          <a:extLst>
            <a:ext uri="{FF2B5EF4-FFF2-40B4-BE49-F238E27FC236}">
              <a16:creationId xmlns:a16="http://schemas.microsoft.com/office/drawing/2014/main" id="{E405508C-2BC5-3FE7-417B-7E5E8993F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1051560</xdr:colOff>
      <xdr:row>5</xdr:row>
      <xdr:rowOff>179070</xdr:rowOff>
    </xdr:from>
    <xdr:to>
      <xdr:col>8</xdr:col>
      <xdr:colOff>746760</xdr:colOff>
      <xdr:row>20</xdr:row>
      <xdr:rowOff>179070</xdr:rowOff>
    </xdr:to>
    <xdr:graphicFrame macro="">
      <xdr:nvGraphicFramePr>
        <xdr:cNvPr id="4" name="Chart 3">
          <a:extLst>
            <a:ext uri="{FF2B5EF4-FFF2-40B4-BE49-F238E27FC236}">
              <a16:creationId xmlns:a16="http://schemas.microsoft.com/office/drawing/2014/main" id="{6C04C89A-BE1D-7E04-5600-1AC8F7F49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707719</xdr:colOff>
      <xdr:row>2</xdr:row>
      <xdr:rowOff>107763</xdr:rowOff>
    </xdr:from>
    <xdr:to>
      <xdr:col>10</xdr:col>
      <xdr:colOff>790222</xdr:colOff>
      <xdr:row>16</xdr:row>
      <xdr:rowOff>112890</xdr:rowOff>
    </xdr:to>
    <xdr:graphicFrame macro="">
      <xdr:nvGraphicFramePr>
        <xdr:cNvPr id="3" name="Chart 2">
          <a:extLst>
            <a:ext uri="{FF2B5EF4-FFF2-40B4-BE49-F238E27FC236}">
              <a16:creationId xmlns:a16="http://schemas.microsoft.com/office/drawing/2014/main" id="{C124F64C-D4DC-31BE-60E2-FD498C468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715641435185" createdVersion="8" refreshedVersion="8" minRefreshableVersion="3" recordCount="10" xr:uid="{82D53BAB-4BD6-458F-B077-BD7CC359E09A}">
  <cacheSource type="worksheet">
    <worksheetSource ref="B25:D35" sheet="Depreciation Calculator"/>
  </cacheSource>
  <cacheFields count="3">
    <cacheField name="Year" numFmtId="0">
      <sharedItems containsSemiMixedTypes="0" containsString="0" containsNumber="1" containsInteger="1" minValue="1" maxValue="10" count="10">
        <n v="1"/>
        <n v="2"/>
        <n v="3"/>
        <n v="4"/>
        <n v="5"/>
        <n v="6"/>
        <n v="7"/>
        <n v="8"/>
        <n v="9"/>
        <n v="10"/>
      </sharedItems>
    </cacheField>
    <cacheField name="Year on Year Depreciation Amount" numFmtId="165">
      <sharedItems containsSemiMixedTypes="0" containsString="0" containsNumber="1" minValue="12946.27058970836" maxValue="102835.88263785925"/>
    </cacheField>
    <cacheField name="Book Value" numFmtId="165">
      <sharedItems containsSemiMixedTypes="0" containsString="0" containsNumber="1" minValue="62946.270589708351" maxValue="500000" count="10">
        <n v="500000"/>
        <n v="397164.11736214074"/>
        <n v="315478.67224009661"/>
        <n v="250593.61681363612"/>
        <n v="199053.58527674861"/>
        <n v="158113.88300841895"/>
        <n v="125594.321575479"/>
        <n v="99763.115748443975"/>
        <n v="79244.659623055661"/>
        <n v="62946.27058970835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765326388886" createdVersion="8" refreshedVersion="8" minRefreshableVersion="3" recordCount="11" xr:uid="{27701AC8-C732-4AAD-BB4C-55D58C6D043F}">
  <cacheSource type="worksheet">
    <worksheetSource ref="W6:X17" sheet="Depreciation Calculator"/>
  </cacheSource>
  <cacheFields count="2">
    <cacheField name="Year" numFmtId="0">
      <sharedItems containsSemiMixedTypes="0" containsString="0" containsNumber="1" containsInteger="1" minValue="0" maxValue="10" count="11">
        <n v="0"/>
        <n v="1"/>
        <n v="2"/>
        <n v="3"/>
        <n v="4"/>
        <n v="5"/>
        <n v="6"/>
        <n v="7"/>
        <n v="8"/>
        <n v="9"/>
        <n v="10"/>
      </sharedItems>
    </cacheField>
    <cacheField name="Asset Value" numFmtId="0">
      <sharedItems containsSemiMixedTypes="0" containsString="0" containsNumber="1" containsInteger="1" minValue="450000" maxValue="500000" count="11">
        <n v="500000"/>
        <n v="495000"/>
        <n v="490000"/>
        <n v="485000"/>
        <n v="480000"/>
        <n v="475000"/>
        <n v="470000"/>
        <n v="465000"/>
        <n v="460000"/>
        <n v="455000"/>
        <n v="450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787298379626" createdVersion="8" refreshedVersion="8" minRefreshableVersion="3" recordCount="11" xr:uid="{0846923D-431C-45E3-B522-BD9BE0AB454F}">
  <cacheSource type="worksheet">
    <worksheetSource ref="B2:D13" sheet="Sheet9"/>
  </cacheSource>
  <cacheFields count="3">
    <cacheField name="Row Labels" numFmtId="0">
      <sharedItems containsMixedTypes="1" containsNumber="1" containsInteger="1" minValue="1" maxValue="10" count="11">
        <n v="1"/>
        <n v="2"/>
        <n v="3"/>
        <n v="4"/>
        <n v="5"/>
        <n v="6"/>
        <n v="7"/>
        <n v="8"/>
        <n v="9"/>
        <n v="10"/>
        <s v="Grand Total"/>
      </sharedItems>
    </cacheField>
    <cacheField name="Sum of Asset Value" numFmtId="0">
      <sharedItems containsSemiMixedTypes="0" containsString="0" containsNumber="1" containsInteger="1" minValue="450000" maxValue="4725000" count="11">
        <n v="495000"/>
        <n v="490000"/>
        <n v="485000"/>
        <n v="480000"/>
        <n v="475000"/>
        <n v="470000"/>
        <n v="465000"/>
        <n v="460000"/>
        <n v="455000"/>
        <n v="450000"/>
        <n v="4725000"/>
      </sharedItems>
    </cacheField>
    <cacheField name="Sum of Book Value" numFmtId="165">
      <sharedItems containsSemiMixedTypes="0" containsString="0" containsNumber="1" minValue="62946.270589708351" maxValue="2187952.24223772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02835.88263785925"/>
    <x v="0"/>
  </r>
  <r>
    <x v="1"/>
    <n v="81685.445122044126"/>
    <x v="1"/>
  </r>
  <r>
    <x v="2"/>
    <n v="64885.05542646048"/>
    <x v="2"/>
  </r>
  <r>
    <x v="3"/>
    <n v="51540.031536887516"/>
    <x v="3"/>
  </r>
  <r>
    <x v="4"/>
    <n v="40939.70226832966"/>
    <x v="4"/>
  </r>
  <r>
    <x v="5"/>
    <n v="32519.561432939961"/>
    <x v="5"/>
  </r>
  <r>
    <x v="6"/>
    <n v="25831.205827035024"/>
    <x v="6"/>
  </r>
  <r>
    <x v="7"/>
    <n v="20518.456125388308"/>
    <x v="7"/>
  </r>
  <r>
    <x v="8"/>
    <n v="16298.389033347312"/>
    <x v="8"/>
  </r>
  <r>
    <x v="9"/>
    <n v="12946.27058970836"/>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r>
  <r>
    <x v="1"/>
    <x v="1"/>
  </r>
  <r>
    <x v="2"/>
    <x v="2"/>
  </r>
  <r>
    <x v="3"/>
    <x v="3"/>
  </r>
  <r>
    <x v="4"/>
    <x v="4"/>
  </r>
  <r>
    <x v="5"/>
    <x v="5"/>
  </r>
  <r>
    <x v="6"/>
    <x v="6"/>
  </r>
  <r>
    <x v="7"/>
    <x v="7"/>
  </r>
  <r>
    <x v="8"/>
    <x v="8"/>
  </r>
  <r>
    <x v="9"/>
    <x v="9"/>
  </r>
  <r>
    <x v="10"/>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n v="500000"/>
  </r>
  <r>
    <x v="1"/>
    <x v="1"/>
    <n v="397164.11736214074"/>
  </r>
  <r>
    <x v="2"/>
    <x v="2"/>
    <n v="315478.67224009661"/>
  </r>
  <r>
    <x v="3"/>
    <x v="3"/>
    <n v="250593.61681363612"/>
  </r>
  <r>
    <x v="4"/>
    <x v="4"/>
    <n v="199053.58527674861"/>
  </r>
  <r>
    <x v="5"/>
    <x v="5"/>
    <n v="158113.88300841895"/>
  </r>
  <r>
    <x v="6"/>
    <x v="6"/>
    <n v="125594.321575479"/>
  </r>
  <r>
    <x v="7"/>
    <x v="7"/>
    <n v="99763.115748443975"/>
  </r>
  <r>
    <x v="8"/>
    <x v="8"/>
    <n v="79244.659623055661"/>
  </r>
  <r>
    <x v="9"/>
    <x v="9"/>
    <n v="62946.270589708351"/>
  </r>
  <r>
    <x v="10"/>
    <x v="10"/>
    <n v="2187952.24223772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7ECDE-A76F-4AB8-802D-5CC6D02AA7C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2" firstHeaderRow="1" firstDataRow="1" firstDataCol="1"/>
  <pivotFields count="2">
    <pivotField axis="axisRow" showAll="0">
      <items count="12">
        <item h="1" x="0"/>
        <item x="1"/>
        <item x="2"/>
        <item x="3"/>
        <item x="4"/>
        <item x="5"/>
        <item x="6"/>
        <item x="7"/>
        <item x="8"/>
        <item x="9"/>
        <item x="10"/>
        <item t="default"/>
      </items>
    </pivotField>
    <pivotField dataField="1" showAll="0"/>
  </pivotFields>
  <rowFields count="1">
    <field x="0"/>
  </rowFields>
  <rowItems count="11">
    <i>
      <x v="1"/>
    </i>
    <i>
      <x v="2"/>
    </i>
    <i>
      <x v="3"/>
    </i>
    <i>
      <x v="4"/>
    </i>
    <i>
      <x v="5"/>
    </i>
    <i>
      <x v="6"/>
    </i>
    <i>
      <x v="7"/>
    </i>
    <i>
      <x v="8"/>
    </i>
    <i>
      <x v="9"/>
    </i>
    <i>
      <x v="10"/>
    </i>
    <i t="grand">
      <x/>
    </i>
  </rowItems>
  <colItems count="1">
    <i/>
  </colItems>
  <dataFields count="1">
    <dataField name="Sum of Asset Value" fld="1" baseField="0" baseItem="0" numFmtId="165"/>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792B80-240F-40BE-9ABD-C34A95B5DB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3">
    <pivotField axis="axisRow" showAll="0">
      <items count="11">
        <item x="0"/>
        <item x="1"/>
        <item x="2"/>
        <item x="3"/>
        <item x="4"/>
        <item x="5"/>
        <item x="6"/>
        <item x="7"/>
        <item x="8"/>
        <item x="9"/>
        <item t="default"/>
      </items>
    </pivotField>
    <pivotField numFmtId="165" showAll="0"/>
    <pivotField dataField="1" numFmtId="165" showAll="0">
      <items count="11">
        <item x="9"/>
        <item x="8"/>
        <item x="7"/>
        <item x="6"/>
        <item x="5"/>
        <item x="4"/>
        <item x="3"/>
        <item x="2"/>
        <item x="1"/>
        <item x="0"/>
        <item t="default"/>
      </items>
    </pivotField>
  </pivotFields>
  <rowFields count="1">
    <field x="0"/>
  </rowFields>
  <rowItems count="11">
    <i>
      <x/>
    </i>
    <i>
      <x v="1"/>
    </i>
    <i>
      <x v="2"/>
    </i>
    <i>
      <x v="3"/>
    </i>
    <i>
      <x v="4"/>
    </i>
    <i>
      <x v="5"/>
    </i>
    <i>
      <x v="6"/>
    </i>
    <i>
      <x v="7"/>
    </i>
    <i>
      <x v="8"/>
    </i>
    <i>
      <x v="9"/>
    </i>
    <i t="grand">
      <x/>
    </i>
  </rowItems>
  <colItems count="1">
    <i/>
  </colItems>
  <dataFields count="1">
    <dataField name="Sum of Book Value" fld="2" baseField="0" baseItem="0" numFmtId="165"/>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0A06B-0242-4C4B-A457-6295F44E4F3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3">
    <pivotField axis="axisRow" showAll="0" sortType="ascending">
      <items count="12">
        <item x="0"/>
        <item x="1"/>
        <item x="2"/>
        <item x="3"/>
        <item x="4"/>
        <item x="5"/>
        <item x="6"/>
        <item x="7"/>
        <item x="8"/>
        <item x="9"/>
        <item h="1" x="10"/>
        <item t="default"/>
      </items>
    </pivotField>
    <pivotField dataField="1" showAll="0">
      <items count="12">
        <item x="9"/>
        <item x="8"/>
        <item x="7"/>
        <item x="6"/>
        <item x="5"/>
        <item x="4"/>
        <item x="3"/>
        <item x="2"/>
        <item x="1"/>
        <item x="0"/>
        <item x="10"/>
        <item t="default"/>
      </items>
    </pivotField>
    <pivotField dataField="1" numFmtId="165"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Book Value" fld="2" baseField="0" baseItem="0" numFmtId="165"/>
    <dataField name="Asset Value" fld="1" baseField="0" baseItem="0" numFmtId="165"/>
  </dataFields>
  <formats count="2">
    <format dxfId="2">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s>
  <chartFormats count="2">
    <chartFormat chart="1" format="4" series="1">
      <pivotArea type="data" outline="0" fieldPosition="0">
        <references count="1">
          <reference field="4294967294" count="1" selected="0">
            <x v="0"/>
          </reference>
        </references>
      </pivotArea>
    </chartFormat>
    <chartFormat chart="1"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64" zoomScaleNormal="64"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6"/>
  <sheetViews>
    <sheetView topLeftCell="B4" zoomScale="92" workbookViewId="0">
      <selection activeCell="I7" sqref="I7"/>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8" width="8.6640625" style="1"/>
    <col min="9" max="9" width="15.77734375" style="1" bestFit="1" customWidth="1"/>
    <col min="10" max="10" width="15.44140625" style="1" customWidth="1"/>
    <col min="11" max="11" width="13.77734375" style="1" customWidth="1"/>
    <col min="12" max="12" width="17.33203125" style="1" customWidth="1"/>
    <col min="13" max="22" width="8.6640625" style="1"/>
    <col min="23" max="24" width="17.5546875" style="1" customWidth="1"/>
    <col min="25" max="16384" width="8.6640625" style="1"/>
  </cols>
  <sheetData>
    <row r="1" spans="1:24" ht="9.9" customHeight="1" thickBot="1" x14ac:dyDescent="0.35">
      <c r="A1" s="7"/>
      <c r="B1" s="7"/>
      <c r="C1" s="7"/>
      <c r="D1" s="7"/>
      <c r="E1" s="7"/>
    </row>
    <row r="2" spans="1:24" ht="37.799999999999997" thickTop="1" thickBot="1" x14ac:dyDescent="0.35">
      <c r="A2" s="7"/>
      <c r="B2" s="33"/>
      <c r="C2" s="31" t="s">
        <v>19</v>
      </c>
      <c r="D2" s="31"/>
      <c r="E2" s="7"/>
    </row>
    <row r="3" spans="1:24" ht="25.8" thickTop="1" thickBot="1" x14ac:dyDescent="0.35">
      <c r="A3" s="7"/>
      <c r="B3" s="34"/>
      <c r="C3" s="32" t="s">
        <v>8</v>
      </c>
      <c r="D3" s="32"/>
      <c r="E3" s="7"/>
    </row>
    <row r="4" spans="1:24" ht="19.2" thickTop="1" thickBot="1" x14ac:dyDescent="0.35">
      <c r="A4" s="7"/>
      <c r="B4" s="3"/>
      <c r="C4" s="3"/>
      <c r="D4" s="3"/>
      <c r="E4" s="7"/>
      <c r="H4"/>
    </row>
    <row r="5" spans="1:24" ht="25.8" thickTop="1" thickBot="1" x14ac:dyDescent="0.35">
      <c r="A5" s="7"/>
      <c r="B5" s="29" t="s">
        <v>17</v>
      </c>
      <c r="C5" s="29"/>
      <c r="D5" s="29"/>
      <c r="E5" s="7"/>
      <c r="I5" s="21"/>
    </row>
    <row r="6" spans="1:24" ht="19.2" thickTop="1" thickBot="1" x14ac:dyDescent="0.35">
      <c r="A6" s="7"/>
      <c r="B6" s="27" t="s">
        <v>11</v>
      </c>
      <c r="C6" s="28"/>
      <c r="D6" s="9">
        <v>450000</v>
      </c>
      <c r="E6" s="7"/>
      <c r="N6" s="25"/>
      <c r="O6" s="25"/>
      <c r="P6" s="25"/>
      <c r="Q6" s="25"/>
      <c r="R6" s="25"/>
      <c r="S6" s="25"/>
      <c r="W6" s="25"/>
      <c r="X6" s="25"/>
    </row>
    <row r="7" spans="1:24" ht="19.2" thickTop="1" thickBot="1" x14ac:dyDescent="0.35">
      <c r="A7" s="7"/>
      <c r="B7" s="27" t="s">
        <v>13</v>
      </c>
      <c r="C7" s="28"/>
      <c r="D7" s="9">
        <v>50000</v>
      </c>
      <c r="E7" s="7"/>
      <c r="N7" s="26"/>
      <c r="O7" s="26"/>
      <c r="P7" s="26"/>
      <c r="Q7" s="26"/>
      <c r="R7" s="26"/>
      <c r="S7" s="26"/>
      <c r="W7" s="26"/>
      <c r="X7" s="26"/>
    </row>
    <row r="8" spans="1:24" ht="19.2" thickTop="1" thickBot="1" x14ac:dyDescent="0.35">
      <c r="A8" s="7"/>
      <c r="B8" s="27" t="s">
        <v>0</v>
      </c>
      <c r="C8" s="28"/>
      <c r="D8" s="10">
        <f>D6+D7</f>
        <v>500000</v>
      </c>
      <c r="E8" s="7"/>
      <c r="N8" s="26"/>
      <c r="O8" s="26"/>
      <c r="P8" s="26"/>
      <c r="Q8" s="26"/>
      <c r="R8" s="26"/>
      <c r="S8" s="26"/>
      <c r="W8" s="26"/>
      <c r="X8" s="26"/>
    </row>
    <row r="9" spans="1:24" ht="19.2" thickTop="1" thickBot="1" x14ac:dyDescent="0.35">
      <c r="A9" s="7"/>
      <c r="B9" s="27" t="s">
        <v>1</v>
      </c>
      <c r="C9" s="28"/>
      <c r="D9" s="9">
        <v>50000</v>
      </c>
      <c r="E9" s="7"/>
      <c r="N9" s="26"/>
      <c r="O9" s="26"/>
      <c r="P9" s="26"/>
      <c r="Q9" s="26"/>
      <c r="R9" s="26"/>
      <c r="S9" s="26"/>
      <c r="W9" s="26"/>
      <c r="X9" s="26"/>
    </row>
    <row r="10" spans="1:24" ht="19.2" thickTop="1" thickBot="1" x14ac:dyDescent="0.35">
      <c r="A10" s="7"/>
      <c r="B10" s="27" t="s">
        <v>2</v>
      </c>
      <c r="C10" s="28"/>
      <c r="D10" s="24">
        <v>10</v>
      </c>
      <c r="E10" s="7"/>
      <c r="N10" s="26"/>
      <c r="O10" s="26"/>
      <c r="P10" s="26"/>
      <c r="Q10" s="26"/>
      <c r="R10" s="26"/>
      <c r="S10" s="26"/>
      <c r="W10" s="26"/>
      <c r="X10" s="26"/>
    </row>
    <row r="11" spans="1:24" ht="19.2" thickTop="1" thickBot="1" x14ac:dyDescent="0.35">
      <c r="A11" s="7"/>
      <c r="B11" s="30" t="s">
        <v>9</v>
      </c>
      <c r="C11" s="30"/>
      <c r="D11" s="10">
        <f>D8-D9/D10</f>
        <v>495000</v>
      </c>
      <c r="E11" s="7"/>
      <c r="N11" s="26"/>
      <c r="O11" s="26"/>
      <c r="P11" s="26"/>
      <c r="Q11" s="26"/>
      <c r="R11" s="26"/>
      <c r="S11" s="26"/>
      <c r="W11" s="26"/>
      <c r="X11" s="26"/>
    </row>
    <row r="12" spans="1:24" ht="19.2" thickTop="1" thickBot="1" x14ac:dyDescent="0.35">
      <c r="A12" s="7"/>
      <c r="B12" s="30" t="s">
        <v>12</v>
      </c>
      <c r="C12" s="30"/>
      <c r="D12" s="4">
        <f>IFERROR(D11/D8,"")</f>
        <v>0.99</v>
      </c>
      <c r="E12" s="7"/>
      <c r="N12"/>
      <c r="O12"/>
      <c r="P12"/>
      <c r="Q12"/>
      <c r="R12"/>
      <c r="S12"/>
      <c r="W12" s="26"/>
      <c r="X12" s="26"/>
    </row>
    <row r="13" spans="1:24" ht="19.2" thickTop="1" thickBot="1" x14ac:dyDescent="0.35">
      <c r="A13" s="7"/>
      <c r="B13" s="27" t="s">
        <v>5</v>
      </c>
      <c r="C13" s="28"/>
      <c r="D13" s="8">
        <f>D11*D10</f>
        <v>4950000</v>
      </c>
      <c r="E13" s="7"/>
      <c r="N13"/>
      <c r="O13"/>
      <c r="P13"/>
      <c r="Q13"/>
      <c r="R13"/>
      <c r="S13"/>
      <c r="W13" s="26"/>
      <c r="X13" s="26"/>
    </row>
    <row r="14" spans="1:24" ht="19.2" thickTop="1" thickBot="1" x14ac:dyDescent="0.35">
      <c r="A14" s="7"/>
      <c r="B14" s="27" t="s">
        <v>4</v>
      </c>
      <c r="C14" s="28"/>
      <c r="D14" s="8">
        <f>IF(D8="", "", D8-D13)</f>
        <v>-4450000</v>
      </c>
      <c r="E14" s="7"/>
      <c r="W14" s="26"/>
      <c r="X14" s="26"/>
    </row>
    <row r="15" spans="1:24" ht="19.2" thickTop="1" thickBot="1" x14ac:dyDescent="0.35">
      <c r="A15" s="7"/>
      <c r="B15" s="27" t="s">
        <v>6</v>
      </c>
      <c r="C15" s="28"/>
      <c r="D15" s="8">
        <f>IF(D8="", "", D9-D14)</f>
        <v>4500000</v>
      </c>
      <c r="E15" s="7"/>
      <c r="W15" s="26"/>
      <c r="X15" s="26"/>
    </row>
    <row r="16" spans="1:24" ht="19.2" thickTop="1" thickBot="1" x14ac:dyDescent="0.35">
      <c r="A16" s="7"/>
      <c r="B16" s="3"/>
      <c r="C16" s="3"/>
      <c r="D16" s="3"/>
      <c r="E16" s="7"/>
      <c r="I16" s="22"/>
      <c r="J16" s="23"/>
      <c r="W16" s="26"/>
      <c r="X16" s="26"/>
    </row>
    <row r="17" spans="1:24" ht="25.8" thickTop="1" thickBot="1" x14ac:dyDescent="0.35">
      <c r="A17" s="7"/>
      <c r="B17" s="29" t="s">
        <v>16</v>
      </c>
      <c r="C17" s="29"/>
      <c r="D17" s="29"/>
      <c r="E17" s="7"/>
      <c r="W17" s="26"/>
      <c r="X17" s="26"/>
    </row>
    <row r="18" spans="1:24" ht="18.899999999999999" customHeight="1" thickTop="1" thickBot="1" x14ac:dyDescent="0.35">
      <c r="A18" s="7"/>
      <c r="B18" s="30" t="s">
        <v>11</v>
      </c>
      <c r="C18" s="30"/>
      <c r="D18" s="9">
        <v>450000</v>
      </c>
      <c r="E18" s="7"/>
    </row>
    <row r="19" spans="1:24" ht="18.899999999999999" customHeight="1" thickTop="1" thickBot="1" x14ac:dyDescent="0.35">
      <c r="A19" s="7"/>
      <c r="B19" s="30" t="s">
        <v>14</v>
      </c>
      <c r="C19" s="30"/>
      <c r="D19" s="9">
        <v>50000</v>
      </c>
      <c r="E19" s="7"/>
    </row>
    <row r="20" spans="1:24" ht="18.899999999999999" customHeight="1" thickTop="1" thickBot="1" x14ac:dyDescent="0.35">
      <c r="A20" s="7"/>
      <c r="B20" s="30" t="s">
        <v>0</v>
      </c>
      <c r="C20" s="30"/>
      <c r="D20" s="10">
        <f>D18+D19</f>
        <v>500000</v>
      </c>
      <c r="E20" s="7"/>
    </row>
    <row r="21" spans="1:24" ht="18.899999999999999" customHeight="1" thickTop="1" thickBot="1" x14ac:dyDescent="0.35">
      <c r="A21" s="7"/>
      <c r="B21" s="30" t="s">
        <v>1</v>
      </c>
      <c r="C21" s="30"/>
      <c r="D21" s="9">
        <v>50000</v>
      </c>
      <c r="E21" s="7"/>
    </row>
    <row r="22" spans="1:24" ht="18.899999999999999" customHeight="1" thickTop="1" thickBot="1" x14ac:dyDescent="0.35">
      <c r="A22" s="7"/>
      <c r="B22" s="30" t="s">
        <v>2</v>
      </c>
      <c r="C22" s="30"/>
      <c r="D22" s="9">
        <v>10</v>
      </c>
      <c r="E22" s="7"/>
    </row>
    <row r="23" spans="1:24" ht="18.899999999999999" customHeight="1" thickTop="1" thickBot="1" x14ac:dyDescent="0.35">
      <c r="A23" s="7"/>
      <c r="B23" s="35" t="s">
        <v>10</v>
      </c>
      <c r="C23" s="35"/>
      <c r="D23" s="4">
        <f>IF(D20="","",1-(D21/D20)^(1/D22))</f>
        <v>0.20567176527571851</v>
      </c>
      <c r="E23" s="7"/>
    </row>
    <row r="24" spans="1:24" ht="24" thickTop="1" thickBot="1" x14ac:dyDescent="0.35">
      <c r="A24" s="7"/>
      <c r="B24" s="36" t="s">
        <v>15</v>
      </c>
      <c r="C24" s="36"/>
      <c r="D24" s="36"/>
      <c r="E24" s="7"/>
    </row>
    <row r="25" spans="1:24" ht="19.2" thickTop="1" thickBot="1" x14ac:dyDescent="0.35">
      <c r="A25" s="7"/>
      <c r="B25" s="5" t="s">
        <v>7</v>
      </c>
      <c r="C25" s="5" t="s">
        <v>18</v>
      </c>
      <c r="D25" s="5" t="s">
        <v>3</v>
      </c>
      <c r="E25" s="7"/>
    </row>
    <row r="26" spans="1:24" ht="19.2" thickTop="1" thickBot="1" x14ac:dyDescent="0.35">
      <c r="A26" s="7"/>
      <c r="B26" s="2">
        <v>1</v>
      </c>
      <c r="C26" s="8">
        <f>D26*D23</f>
        <v>102835.88263785925</v>
      </c>
      <c r="D26" s="8">
        <f>D8</f>
        <v>500000</v>
      </c>
      <c r="E26" s="7"/>
    </row>
    <row r="27" spans="1:24" ht="19.2" thickTop="1" thickBot="1" x14ac:dyDescent="0.35">
      <c r="A27" s="7"/>
      <c r="B27" s="2">
        <v>2</v>
      </c>
      <c r="C27" s="8">
        <f>D27*D23</f>
        <v>81685.445122044126</v>
      </c>
      <c r="D27" s="8">
        <f>D26-C26</f>
        <v>397164.11736214074</v>
      </c>
      <c r="E27" s="7"/>
    </row>
    <row r="28" spans="1:24" ht="19.2" thickTop="1" thickBot="1" x14ac:dyDescent="0.35">
      <c r="A28" s="7"/>
      <c r="B28" s="2">
        <v>3</v>
      </c>
      <c r="C28" s="8">
        <f t="shared" ref="C28:C45" si="0">IFERROR(IF(D28&gt;$D$21, (D28*$D$23), ""),"")</f>
        <v>64885.05542646048</v>
      </c>
      <c r="D28" s="8">
        <f t="shared" ref="D28:D45" si="1">IFERROR(D27-C27, "")</f>
        <v>315478.67224009661</v>
      </c>
      <c r="E28" s="7"/>
    </row>
    <row r="29" spans="1:24" ht="19.2" thickTop="1" thickBot="1" x14ac:dyDescent="0.35">
      <c r="A29" s="7"/>
      <c r="B29" s="2">
        <v>4</v>
      </c>
      <c r="C29" s="8">
        <f t="shared" si="0"/>
        <v>51540.031536887516</v>
      </c>
      <c r="D29" s="8">
        <f t="shared" si="1"/>
        <v>250593.61681363612</v>
      </c>
      <c r="E29" s="7"/>
    </row>
    <row r="30" spans="1:24" ht="19.2" thickTop="1" thickBot="1" x14ac:dyDescent="0.35">
      <c r="A30" s="7"/>
      <c r="B30" s="2">
        <v>5</v>
      </c>
      <c r="C30" s="8">
        <f t="shared" si="0"/>
        <v>40939.70226832966</v>
      </c>
      <c r="D30" s="8">
        <f t="shared" si="1"/>
        <v>199053.58527674861</v>
      </c>
      <c r="E30" s="7"/>
    </row>
    <row r="31" spans="1:24" ht="19.2" thickTop="1" thickBot="1" x14ac:dyDescent="0.35">
      <c r="A31" s="7"/>
      <c r="B31" s="2">
        <v>6</v>
      </c>
      <c r="C31" s="8">
        <f t="shared" si="0"/>
        <v>32519.561432939961</v>
      </c>
      <c r="D31" s="8">
        <f t="shared" si="1"/>
        <v>158113.88300841895</v>
      </c>
      <c r="E31" s="7"/>
    </row>
    <row r="32" spans="1:24" ht="19.2" thickTop="1" thickBot="1" x14ac:dyDescent="0.35">
      <c r="A32" s="7"/>
      <c r="B32" s="2">
        <v>7</v>
      </c>
      <c r="C32" s="8">
        <f t="shared" si="0"/>
        <v>25831.205827035024</v>
      </c>
      <c r="D32" s="8">
        <f t="shared" si="1"/>
        <v>125594.321575479</v>
      </c>
      <c r="E32" s="7"/>
    </row>
    <row r="33" spans="1:5" ht="19.2" thickTop="1" thickBot="1" x14ac:dyDescent="0.35">
      <c r="A33" s="7"/>
      <c r="B33" s="2">
        <v>8</v>
      </c>
      <c r="C33" s="8">
        <f t="shared" si="0"/>
        <v>20518.456125388308</v>
      </c>
      <c r="D33" s="8">
        <f t="shared" si="1"/>
        <v>99763.115748443975</v>
      </c>
      <c r="E33" s="7"/>
    </row>
    <row r="34" spans="1:5" ht="19.2" thickTop="1" thickBot="1" x14ac:dyDescent="0.35">
      <c r="A34" s="7"/>
      <c r="B34" s="2">
        <v>9</v>
      </c>
      <c r="C34" s="8">
        <f t="shared" si="0"/>
        <v>16298.389033347312</v>
      </c>
      <c r="D34" s="8">
        <f t="shared" si="1"/>
        <v>79244.659623055661</v>
      </c>
      <c r="E34" s="7"/>
    </row>
    <row r="35" spans="1:5" ht="19.2" thickTop="1" thickBot="1" x14ac:dyDescent="0.35">
      <c r="A35" s="7"/>
      <c r="B35" s="2">
        <v>10</v>
      </c>
      <c r="C35" s="8">
        <f t="shared" si="0"/>
        <v>12946.27058970836</v>
      </c>
      <c r="D35" s="8">
        <f t="shared" si="1"/>
        <v>62946.270589708351</v>
      </c>
      <c r="E35" s="7"/>
    </row>
    <row r="36" spans="1:5" ht="19.2" thickTop="1" thickBot="1" x14ac:dyDescent="0.35">
      <c r="A36" s="7"/>
      <c r="B36" s="2"/>
      <c r="C36" s="2" t="str">
        <f t="shared" si="0"/>
        <v/>
      </c>
      <c r="D36" s="8"/>
      <c r="E36" s="7"/>
    </row>
    <row r="37" spans="1:5" ht="19.2" thickTop="1" thickBot="1" x14ac:dyDescent="0.35">
      <c r="A37" s="7"/>
      <c r="B37" s="2"/>
      <c r="C37" s="2" t="str">
        <f t="shared" si="0"/>
        <v/>
      </c>
      <c r="D37" s="8" t="str">
        <f t="shared" si="1"/>
        <v/>
      </c>
      <c r="E37" s="7"/>
    </row>
    <row r="38" spans="1:5" ht="19.2" thickTop="1" thickBot="1" x14ac:dyDescent="0.35">
      <c r="A38" s="7"/>
      <c r="B38" s="2"/>
      <c r="C38" s="6" t="str">
        <f t="shared" si="0"/>
        <v/>
      </c>
      <c r="D38" s="6" t="str">
        <f t="shared" si="1"/>
        <v/>
      </c>
      <c r="E38" s="7"/>
    </row>
    <row r="39" spans="1:5" ht="19.2" thickTop="1" thickBot="1" x14ac:dyDescent="0.35">
      <c r="A39" s="7"/>
      <c r="B39" s="2"/>
      <c r="C39" s="6" t="str">
        <f t="shared" si="0"/>
        <v/>
      </c>
      <c r="D39" s="6" t="str">
        <f t="shared" si="1"/>
        <v/>
      </c>
      <c r="E39" s="7"/>
    </row>
    <row r="40" spans="1:5" ht="19.2" thickTop="1" thickBot="1" x14ac:dyDescent="0.35">
      <c r="A40" s="7"/>
      <c r="B40" s="2"/>
      <c r="C40" s="6" t="str">
        <f t="shared" si="0"/>
        <v/>
      </c>
      <c r="D40" s="6" t="str">
        <f t="shared" si="1"/>
        <v/>
      </c>
      <c r="E40" s="7"/>
    </row>
    <row r="41" spans="1:5" ht="19.2" thickTop="1" thickBot="1" x14ac:dyDescent="0.35">
      <c r="A41" s="7"/>
      <c r="B41" s="2"/>
      <c r="C41" s="6" t="str">
        <f t="shared" si="0"/>
        <v/>
      </c>
      <c r="D41" s="6" t="str">
        <f t="shared" si="1"/>
        <v/>
      </c>
      <c r="E41" s="7"/>
    </row>
    <row r="42" spans="1:5" ht="19.2" thickTop="1" thickBot="1" x14ac:dyDescent="0.35">
      <c r="A42" s="7"/>
      <c r="B42" s="2"/>
      <c r="C42" s="6" t="str">
        <f t="shared" si="0"/>
        <v/>
      </c>
      <c r="D42" s="6" t="str">
        <f t="shared" si="1"/>
        <v/>
      </c>
      <c r="E42" s="7"/>
    </row>
    <row r="43" spans="1:5" ht="19.2" thickTop="1" thickBot="1" x14ac:dyDescent="0.35">
      <c r="A43" s="7"/>
      <c r="B43" s="2"/>
      <c r="C43" s="6" t="str">
        <f t="shared" si="0"/>
        <v/>
      </c>
      <c r="D43" s="6" t="str">
        <f t="shared" si="1"/>
        <v/>
      </c>
      <c r="E43" s="7"/>
    </row>
    <row r="44" spans="1:5" ht="19.2" thickTop="1" thickBot="1" x14ac:dyDescent="0.35">
      <c r="A44" s="7"/>
      <c r="B44" s="2"/>
      <c r="C44" s="6" t="str">
        <f t="shared" si="0"/>
        <v/>
      </c>
      <c r="D44" s="6" t="str">
        <f t="shared" si="1"/>
        <v/>
      </c>
      <c r="E44" s="7"/>
    </row>
    <row r="45" spans="1:5" ht="19.2" thickTop="1" thickBot="1" x14ac:dyDescent="0.35">
      <c r="A45" s="7"/>
      <c r="B45" s="2"/>
      <c r="C45" s="6" t="str">
        <f t="shared" si="0"/>
        <v/>
      </c>
      <c r="D45" s="6" t="str">
        <f t="shared" si="1"/>
        <v/>
      </c>
      <c r="E45" s="7"/>
    </row>
    <row r="46" spans="1:5" ht="18.600000000000001" thickTop="1" x14ac:dyDescent="0.3">
      <c r="A46" s="7"/>
      <c r="B46" s="7"/>
      <c r="C46" s="7"/>
      <c r="D46" s="7"/>
      <c r="E46" s="7"/>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AEA5-AAF4-4A18-B7A4-3807310848AD}">
  <dimension ref="B2:D25"/>
  <sheetViews>
    <sheetView zoomScale="111" workbookViewId="0">
      <selection activeCell="F7" sqref="F7"/>
    </sheetView>
  </sheetViews>
  <sheetFormatPr defaultRowHeight="14.4" x14ac:dyDescent="0.3"/>
  <cols>
    <col min="2" max="2" width="55.77734375" customWidth="1"/>
    <col min="4" max="4" width="53.77734375" customWidth="1"/>
  </cols>
  <sheetData>
    <row r="2" spans="2:4" ht="15.6" x14ac:dyDescent="0.3">
      <c r="B2" s="12" t="s">
        <v>21</v>
      </c>
      <c r="C2" s="13"/>
      <c r="D2" s="13" t="s">
        <v>26</v>
      </c>
    </row>
    <row r="3" spans="2:4" x14ac:dyDescent="0.3">
      <c r="B3" s="13" t="s">
        <v>30</v>
      </c>
      <c r="C3" s="13"/>
      <c r="D3" s="13" t="s">
        <v>30</v>
      </c>
    </row>
    <row r="4" spans="2:4" x14ac:dyDescent="0.3">
      <c r="B4" s="13" t="s">
        <v>20</v>
      </c>
      <c r="C4" s="13"/>
      <c r="D4" s="13" t="s">
        <v>34</v>
      </c>
    </row>
    <row r="5" spans="2:4" x14ac:dyDescent="0.3">
      <c r="B5" s="13">
        <f>'Depreciation Calculator'!D8-'Depreciation Calculator'!D9/'Depreciation Calculator'!D10</f>
        <v>495000</v>
      </c>
      <c r="C5" s="13"/>
      <c r="D5" s="14">
        <f>'Depreciation Calculator'!D28-'Depreciation Calculator'!C28</f>
        <v>250593.61681363612</v>
      </c>
    </row>
    <row r="6" spans="2:4" x14ac:dyDescent="0.3">
      <c r="B6" s="13"/>
      <c r="C6" s="13"/>
      <c r="D6" s="13"/>
    </row>
    <row r="7" spans="2:4" s="11" customFormat="1" ht="15.6" x14ac:dyDescent="0.3">
      <c r="B7" s="12" t="s">
        <v>22</v>
      </c>
      <c r="C7" s="15"/>
      <c r="D7" s="15" t="s">
        <v>27</v>
      </c>
    </row>
    <row r="8" spans="2:4" x14ac:dyDescent="0.3">
      <c r="B8" s="13" t="s">
        <v>30</v>
      </c>
      <c r="C8" s="13"/>
      <c r="D8" s="13" t="s">
        <v>30</v>
      </c>
    </row>
    <row r="9" spans="2:4" x14ac:dyDescent="0.3">
      <c r="B9" s="13" t="s">
        <v>31</v>
      </c>
      <c r="C9" s="13"/>
      <c r="D9" s="13" t="s">
        <v>35</v>
      </c>
    </row>
    <row r="10" spans="2:4" x14ac:dyDescent="0.3">
      <c r="B10" s="13">
        <f>'Depreciation Calculator'!D11*'Depreciation Calculator'!D10</f>
        <v>4950000</v>
      </c>
      <c r="C10" s="13"/>
      <c r="D10" s="13">
        <f>SUM('Depreciation Calculator'!C26:C35)</f>
        <v>450000</v>
      </c>
    </row>
    <row r="11" spans="2:4" x14ac:dyDescent="0.3">
      <c r="B11" s="13"/>
      <c r="C11" s="13"/>
      <c r="D11" s="13"/>
    </row>
    <row r="12" spans="2:4" s="11" customFormat="1" ht="15.6" x14ac:dyDescent="0.3">
      <c r="B12" s="12" t="s">
        <v>23</v>
      </c>
      <c r="C12" s="15"/>
      <c r="D12" s="15" t="s">
        <v>28</v>
      </c>
    </row>
    <row r="13" spans="2:4" x14ac:dyDescent="0.3">
      <c r="B13" s="13" t="s">
        <v>30</v>
      </c>
      <c r="C13" s="13"/>
      <c r="D13" s="13" t="s">
        <v>30</v>
      </c>
    </row>
    <row r="14" spans="2:4" x14ac:dyDescent="0.3">
      <c r="B14" s="13" t="s">
        <v>1</v>
      </c>
      <c r="C14" s="13"/>
      <c r="D14" s="13" t="s">
        <v>36</v>
      </c>
    </row>
    <row r="15" spans="2:4" x14ac:dyDescent="0.3">
      <c r="B15" s="13">
        <f>'Depreciation Calculator'!D9</f>
        <v>50000</v>
      </c>
      <c r="C15" s="13"/>
      <c r="D15" s="14">
        <f>'Depreciation Calculator'!D35</f>
        <v>62946.270589708351</v>
      </c>
    </row>
    <row r="16" spans="2:4" x14ac:dyDescent="0.3">
      <c r="B16" s="13"/>
      <c r="C16" s="13"/>
      <c r="D16" s="13"/>
    </row>
    <row r="17" spans="2:4" s="11" customFormat="1" ht="15.6" x14ac:dyDescent="0.3">
      <c r="B17" s="12" t="s">
        <v>24</v>
      </c>
      <c r="C17" s="15"/>
      <c r="D17" s="15" t="s">
        <v>29</v>
      </c>
    </row>
    <row r="18" spans="2:4" x14ac:dyDescent="0.3">
      <c r="B18" s="13" t="s">
        <v>30</v>
      </c>
      <c r="C18" s="13"/>
      <c r="D18" s="13" t="s">
        <v>38</v>
      </c>
    </row>
    <row r="19" spans="2:4" x14ac:dyDescent="0.3">
      <c r="B19" s="13" t="s">
        <v>32</v>
      </c>
      <c r="C19" s="13"/>
      <c r="D19" s="13" t="s">
        <v>37</v>
      </c>
    </row>
    <row r="20" spans="2:4" x14ac:dyDescent="0.3">
      <c r="B20" s="16">
        <f>'Depreciation Calculator'!C26/'Depreciation Calculator'!D20</f>
        <v>0.20567176527571851</v>
      </c>
      <c r="C20" s="13"/>
      <c r="D20" s="17"/>
    </row>
    <row r="21" spans="2:4" x14ac:dyDescent="0.3">
      <c r="B21" s="13"/>
      <c r="C21" s="13"/>
      <c r="D21" s="13"/>
    </row>
    <row r="22" spans="2:4" ht="15.6" x14ac:dyDescent="0.3">
      <c r="B22" s="12" t="s">
        <v>25</v>
      </c>
      <c r="C22" s="13"/>
      <c r="D22" s="13"/>
    </row>
    <row r="23" spans="2:4" x14ac:dyDescent="0.3">
      <c r="B23" s="13" t="s">
        <v>30</v>
      </c>
      <c r="C23" s="13"/>
      <c r="D23" s="13"/>
    </row>
    <row r="24" spans="2:4" x14ac:dyDescent="0.3">
      <c r="B24" s="13" t="s">
        <v>33</v>
      </c>
      <c r="C24" s="13"/>
      <c r="D24" s="13"/>
    </row>
    <row r="25" spans="2:4" x14ac:dyDescent="0.3">
      <c r="B25" s="14">
        <f>'Depreciation Calculator'!D27*'Depreciation Calculator'!D23</f>
        <v>81685.445122044126</v>
      </c>
      <c r="C25" s="13"/>
      <c r="D2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9053-864C-4D76-AED1-BABDFE29AB8D}">
  <dimension ref="A1:B12"/>
  <sheetViews>
    <sheetView tabSelected="1" workbookViewId="0">
      <selection activeCell="M19" sqref="M18:M19"/>
    </sheetView>
  </sheetViews>
  <sheetFormatPr defaultRowHeight="14.4" x14ac:dyDescent="0.3"/>
  <cols>
    <col min="1" max="1" width="12.5546875" bestFit="1" customWidth="1"/>
    <col min="2" max="2" width="17.33203125" bestFit="1" customWidth="1"/>
  </cols>
  <sheetData>
    <row r="1" spans="1:2" x14ac:dyDescent="0.3">
      <c r="A1" s="18" t="s">
        <v>39</v>
      </c>
      <c r="B1" t="s">
        <v>43</v>
      </c>
    </row>
    <row r="2" spans="1:2" x14ac:dyDescent="0.3">
      <c r="A2" s="19">
        <v>1</v>
      </c>
      <c r="B2" s="20">
        <v>495000</v>
      </c>
    </row>
    <row r="3" spans="1:2" x14ac:dyDescent="0.3">
      <c r="A3" s="19">
        <v>2</v>
      </c>
      <c r="B3" s="20">
        <v>490000</v>
      </c>
    </row>
    <row r="4" spans="1:2" x14ac:dyDescent="0.3">
      <c r="A4" s="19">
        <v>3</v>
      </c>
      <c r="B4" s="20">
        <v>485000</v>
      </c>
    </row>
    <row r="5" spans="1:2" x14ac:dyDescent="0.3">
      <c r="A5" s="19">
        <v>4</v>
      </c>
      <c r="B5" s="20">
        <v>480000</v>
      </c>
    </row>
    <row r="6" spans="1:2" x14ac:dyDescent="0.3">
      <c r="A6" s="19">
        <v>5</v>
      </c>
      <c r="B6" s="20">
        <v>475000</v>
      </c>
    </row>
    <row r="7" spans="1:2" x14ac:dyDescent="0.3">
      <c r="A7" s="19">
        <v>6</v>
      </c>
      <c r="B7" s="20">
        <v>470000</v>
      </c>
    </row>
    <row r="8" spans="1:2" x14ac:dyDescent="0.3">
      <c r="A8" s="19">
        <v>7</v>
      </c>
      <c r="B8" s="20">
        <v>465000</v>
      </c>
    </row>
    <row r="9" spans="1:2" x14ac:dyDescent="0.3">
      <c r="A9" s="19">
        <v>8</v>
      </c>
      <c r="B9" s="20">
        <v>460000</v>
      </c>
    </row>
    <row r="10" spans="1:2" x14ac:dyDescent="0.3">
      <c r="A10" s="19">
        <v>9</v>
      </c>
      <c r="B10" s="20">
        <v>455000</v>
      </c>
    </row>
    <row r="11" spans="1:2" x14ac:dyDescent="0.3">
      <c r="A11" s="19">
        <v>10</v>
      </c>
      <c r="B11" s="20">
        <v>450000</v>
      </c>
    </row>
    <row r="12" spans="1:2" x14ac:dyDescent="0.3">
      <c r="A12" s="19" t="s">
        <v>40</v>
      </c>
      <c r="B12" s="20">
        <v>4725000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B083A-8C52-47A6-9905-544463295ED8}">
  <dimension ref="A3:B14"/>
  <sheetViews>
    <sheetView topLeftCell="A3" workbookViewId="0">
      <selection activeCell="D29" sqref="D28:D29"/>
    </sheetView>
  </sheetViews>
  <sheetFormatPr defaultRowHeight="14.4" x14ac:dyDescent="0.3"/>
  <cols>
    <col min="1" max="1" width="12.5546875" bestFit="1" customWidth="1"/>
    <col min="2" max="2" width="17.21875" bestFit="1" customWidth="1"/>
    <col min="3" max="10" width="15.5546875" bestFit="1" customWidth="1"/>
    <col min="11" max="12" width="10.77734375" bestFit="1" customWidth="1"/>
  </cols>
  <sheetData>
    <row r="3" spans="1:2" x14ac:dyDescent="0.3">
      <c r="A3" s="18" t="s">
        <v>39</v>
      </c>
      <c r="B3" t="s">
        <v>41</v>
      </c>
    </row>
    <row r="4" spans="1:2" x14ac:dyDescent="0.3">
      <c r="A4" s="19">
        <v>1</v>
      </c>
      <c r="B4" s="20">
        <v>500000</v>
      </c>
    </row>
    <row r="5" spans="1:2" x14ac:dyDescent="0.3">
      <c r="A5" s="19">
        <v>2</v>
      </c>
      <c r="B5" s="20">
        <v>397164.11736214074</v>
      </c>
    </row>
    <row r="6" spans="1:2" x14ac:dyDescent="0.3">
      <c r="A6" s="19">
        <v>3</v>
      </c>
      <c r="B6" s="20">
        <v>315478.67224009661</v>
      </c>
    </row>
    <row r="7" spans="1:2" x14ac:dyDescent="0.3">
      <c r="A7" s="19">
        <v>4</v>
      </c>
      <c r="B7" s="20">
        <v>250593.61681363612</v>
      </c>
    </row>
    <row r="8" spans="1:2" x14ac:dyDescent="0.3">
      <c r="A8" s="19">
        <v>5</v>
      </c>
      <c r="B8" s="20">
        <v>199053.58527674861</v>
      </c>
    </row>
    <row r="9" spans="1:2" x14ac:dyDescent="0.3">
      <c r="A9" s="19">
        <v>6</v>
      </c>
      <c r="B9" s="20">
        <v>158113.88300841895</v>
      </c>
    </row>
    <row r="10" spans="1:2" x14ac:dyDescent="0.3">
      <c r="A10" s="19">
        <v>7</v>
      </c>
      <c r="B10" s="20">
        <v>125594.321575479</v>
      </c>
    </row>
    <row r="11" spans="1:2" x14ac:dyDescent="0.3">
      <c r="A11" s="19">
        <v>8</v>
      </c>
      <c r="B11" s="20">
        <v>99763.115748443975</v>
      </c>
    </row>
    <row r="12" spans="1:2" x14ac:dyDescent="0.3">
      <c r="A12" s="19">
        <v>9</v>
      </c>
      <c r="B12" s="20">
        <v>79244.659623055661</v>
      </c>
    </row>
    <row r="13" spans="1:2" x14ac:dyDescent="0.3">
      <c r="A13" s="19">
        <v>10</v>
      </c>
      <c r="B13" s="20">
        <v>62946.270589708351</v>
      </c>
    </row>
    <row r="14" spans="1:2" x14ac:dyDescent="0.3">
      <c r="A14" s="19" t="s">
        <v>40</v>
      </c>
      <c r="B14" s="20">
        <v>2187952.2422377276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5267-F03C-46A2-8206-A8C56DFD7FFF}">
  <dimension ref="A3:C14"/>
  <sheetViews>
    <sheetView zoomScale="81" workbookViewId="0">
      <selection activeCell="C25" sqref="C25"/>
    </sheetView>
  </sheetViews>
  <sheetFormatPr defaultRowHeight="14.4" x14ac:dyDescent="0.3"/>
  <cols>
    <col min="1" max="3" width="22" customWidth="1"/>
    <col min="4" max="4" width="10.5546875" bestFit="1" customWidth="1"/>
    <col min="5" max="11" width="12.109375" bestFit="1" customWidth="1"/>
    <col min="12" max="12" width="13.21875" bestFit="1" customWidth="1"/>
  </cols>
  <sheetData>
    <row r="3" spans="1:3" ht="21" customHeight="1" x14ac:dyDescent="0.3">
      <c r="A3" s="18" t="s">
        <v>39</v>
      </c>
      <c r="B3" t="s">
        <v>3</v>
      </c>
      <c r="C3" s="20" t="s">
        <v>42</v>
      </c>
    </row>
    <row r="4" spans="1:3" ht="21" customHeight="1" x14ac:dyDescent="0.3">
      <c r="A4" s="19">
        <v>1</v>
      </c>
      <c r="B4" s="20">
        <v>500000</v>
      </c>
      <c r="C4" s="20">
        <v>495000</v>
      </c>
    </row>
    <row r="5" spans="1:3" ht="21" customHeight="1" x14ac:dyDescent="0.3">
      <c r="A5" s="19">
        <v>2</v>
      </c>
      <c r="B5" s="20">
        <v>397164.11736214074</v>
      </c>
      <c r="C5" s="20">
        <v>490000</v>
      </c>
    </row>
    <row r="6" spans="1:3" ht="21" customHeight="1" x14ac:dyDescent="0.3">
      <c r="A6" s="19">
        <v>3</v>
      </c>
      <c r="B6" s="20">
        <v>315478.67224009661</v>
      </c>
      <c r="C6" s="20">
        <v>485000</v>
      </c>
    </row>
    <row r="7" spans="1:3" ht="21" customHeight="1" x14ac:dyDescent="0.3">
      <c r="A7" s="19">
        <v>4</v>
      </c>
      <c r="B7" s="20">
        <v>250593.61681363612</v>
      </c>
      <c r="C7" s="20">
        <v>480000</v>
      </c>
    </row>
    <row r="8" spans="1:3" ht="21" customHeight="1" x14ac:dyDescent="0.3">
      <c r="A8" s="19">
        <v>5</v>
      </c>
      <c r="B8" s="20">
        <v>199053.58527674861</v>
      </c>
      <c r="C8" s="20">
        <v>475000</v>
      </c>
    </row>
    <row r="9" spans="1:3" ht="21" customHeight="1" x14ac:dyDescent="0.3">
      <c r="A9" s="19">
        <v>6</v>
      </c>
      <c r="B9" s="20">
        <v>158113.88300841895</v>
      </c>
      <c r="C9" s="20">
        <v>470000</v>
      </c>
    </row>
    <row r="10" spans="1:3" ht="21" customHeight="1" x14ac:dyDescent="0.3">
      <c r="A10" s="19">
        <v>7</v>
      </c>
      <c r="B10" s="20">
        <v>125594.321575479</v>
      </c>
      <c r="C10" s="20">
        <v>465000</v>
      </c>
    </row>
    <row r="11" spans="1:3" ht="21" customHeight="1" x14ac:dyDescent="0.3">
      <c r="A11" s="19">
        <v>8</v>
      </c>
      <c r="B11" s="20">
        <v>99763.115748443975</v>
      </c>
      <c r="C11" s="20">
        <v>460000</v>
      </c>
    </row>
    <row r="12" spans="1:3" ht="21" customHeight="1" x14ac:dyDescent="0.3">
      <c r="A12" s="19">
        <v>9</v>
      </c>
      <c r="B12" s="20">
        <v>79244.659623055661</v>
      </c>
      <c r="C12" s="20">
        <v>455000</v>
      </c>
    </row>
    <row r="13" spans="1:3" ht="21" customHeight="1" x14ac:dyDescent="0.3">
      <c r="A13" s="19">
        <v>10</v>
      </c>
      <c r="B13" s="20">
        <v>62946.270589708351</v>
      </c>
      <c r="C13" s="20">
        <v>450000</v>
      </c>
    </row>
    <row r="14" spans="1:3" ht="21" customHeight="1" x14ac:dyDescent="0.3">
      <c r="A14" s="19" t="s">
        <v>40</v>
      </c>
      <c r="B14" s="20">
        <v>2187952.2422377276</v>
      </c>
      <c r="C14" s="20">
        <v>4725000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Information</vt:lpstr>
      <vt:lpstr>Depreciation Calculator</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snehal khobragade</cp:lastModifiedBy>
  <cp:lastPrinted>2019-12-30T11:34:18Z</cp:lastPrinted>
  <dcterms:created xsi:type="dcterms:W3CDTF">2019-12-30T10:28:43Z</dcterms:created>
  <dcterms:modified xsi:type="dcterms:W3CDTF">2026-03-16T19:47:42Z</dcterms:modified>
</cp:coreProperties>
</file>